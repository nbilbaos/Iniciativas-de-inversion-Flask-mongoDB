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<sst xmlns="http://schemas.openxmlformats.org/spreadsheetml/2006/main" count="233" uniqueCount="76">
  <si>
    <t>N°</t>
  </si>
  <si>
    <t>Nombre Iniciativa</t>
  </si>
  <si>
    <t>Zona o Localidad</t>
  </si>
  <si>
    <t>Unidad Formuladora</t>
  </si>
  <si>
    <t>Unidad Financiera</t>
  </si>
  <si>
    <t>Fondo</t>
  </si>
  <si>
    <t>Etapa Ciclo</t>
  </si>
  <si>
    <t>Monto estimado</t>
  </si>
  <si>
    <t>Monto aprobado</t>
  </si>
  <si>
    <t>Monto contratado</t>
  </si>
  <si>
    <t>Monto ejecutado</t>
  </si>
  <si>
    <t>Monto conjunto</t>
  </si>
  <si>
    <t>Estado</t>
  </si>
  <si>
    <t>Fecha formulación</t>
  </si>
  <si>
    <t>Fecha postulación</t>
  </si>
  <si>
    <t>Fecha elegibilidad</t>
  </si>
  <si>
    <t>Fecha financiamiento</t>
  </si>
  <si>
    <t>Fecha licitación</t>
  </si>
  <si>
    <t>Fecha adjudicación</t>
  </si>
  <si>
    <t>Fecha contratación</t>
  </si>
  <si>
    <t>Fecha de ejecución</t>
  </si>
  <si>
    <t>Mejoramiento Intersección Calle Yungay - O'Higgins Con Santiago, Lanco</t>
  </si>
  <si>
    <t>Comunal</t>
  </si>
  <si>
    <t>Mop</t>
  </si>
  <si>
    <t>Mop-Red Vial</t>
  </si>
  <si>
    <t>Ejecución</t>
  </si>
  <si>
    <t>No iniciado</t>
  </si>
  <si>
    <t>Nf</t>
  </si>
  <si>
    <t>Np</t>
  </si>
  <si>
    <t>Ne</t>
  </si>
  <si>
    <t>Mejoramiento Intersección Ex Ruta 5 Con Yungay, Lanco</t>
  </si>
  <si>
    <t>Lanco</t>
  </si>
  <si>
    <t>Construcción Ciclovía Quilche-Malalhue</t>
  </si>
  <si>
    <t>Malalhue</t>
  </si>
  <si>
    <t>Formulación</t>
  </si>
  <si>
    <t>Indeterminado</t>
  </si>
  <si>
    <t>Conservación Red Vial, Sello T-145 malalhue - Curaco, T-105 Curaco - Hondonada y T-107 Malalhue - Contrabajo, Comuna de Lanco</t>
  </si>
  <si>
    <t>Adjudicación</t>
  </si>
  <si>
    <t>P</t>
  </si>
  <si>
    <t>Estudio Cruces Peligrosos II (Vialidad)</t>
  </si>
  <si>
    <t>Mop-Seguridad Vial</t>
  </si>
  <si>
    <t>En ejecución</t>
  </si>
  <si>
    <t>Estudio de Ingeniería Construcción Ciclovías en Red Vial Región de los Ríos II Etapa</t>
  </si>
  <si>
    <t>Diseño</t>
  </si>
  <si>
    <t>Conservación Seguridas Travesias Region de Los Rios</t>
  </si>
  <si>
    <t>Región</t>
  </si>
  <si>
    <t>Estudio Hidrogeológico Antilhue Alto</t>
  </si>
  <si>
    <t>Antilhue</t>
  </si>
  <si>
    <t>Mop-Servicios Sanitarios</t>
  </si>
  <si>
    <t>Revisión</t>
  </si>
  <si>
    <t>Estudio Hidrogeológico Quemchue</t>
  </si>
  <si>
    <t>Quemchue</t>
  </si>
  <si>
    <t>Construcción Servicio Sanitario Rural de Quemchue, Lanco</t>
  </si>
  <si>
    <t>Prefactibilidad</t>
  </si>
  <si>
    <t>Diseño de Ingeniería para la Instalación del APR Las Quemas, Lanco</t>
  </si>
  <si>
    <t>Las Quemas</t>
  </si>
  <si>
    <t>Diseño de Ingeniería para la Instalación del APR Panguinilahue, Lanco</t>
  </si>
  <si>
    <t>Panguinilahue</t>
  </si>
  <si>
    <t>Ejecutado</t>
  </si>
  <si>
    <t>Diseño de Instalación del SSR de Puquiñe, Comuna de Lanco</t>
  </si>
  <si>
    <t>Puquiñe</t>
  </si>
  <si>
    <t>Construcción Servicio Sanitario Rural de Puquiñe, Lanco</t>
  </si>
  <si>
    <t>Ampliación y Mejoramiento Servicio Sanitario Rural de Aylin, Lanco</t>
  </si>
  <si>
    <t>Aylin</t>
  </si>
  <si>
    <t>Construcción del Servicio Sanitario Rural de Imulfudi-Pilfe-Trana, Lanco</t>
  </si>
  <si>
    <t>Diagnostico Plan Maestro de Aguas Lluvias, Comuna de Lanco</t>
  </si>
  <si>
    <t>2025*</t>
  </si>
  <si>
    <t>Conservación SSR La Isla, Lanco</t>
  </si>
  <si>
    <t>La Isla</t>
  </si>
  <si>
    <t>Construcción Servicio Sanitario Rural de Comunidad Indígena Manuel Llancamán, Lanco</t>
  </si>
  <si>
    <t>Pilfitrana</t>
  </si>
  <si>
    <t>Construcción Servicio Sanitario Rural de Estación Purulón, Lanco</t>
  </si>
  <si>
    <t>Purulón</t>
  </si>
  <si>
    <t>Construcción del Servicio de Agua Potable Rural de Catrico, Comuna de Lanco</t>
  </si>
  <si>
    <t>Catrico</t>
  </si>
  <si>
    <t>Construcción Servicio Sanitario Rural de Panguinilahue, Lanco</t>
  </si>
</sst>
</file>

<file path=xl/styles.xml><?xml version="1.0" encoding="utf-8"?>
<styleSheet xmlns="http://schemas.openxmlformats.org/spreadsheetml/2006/main">
  <numFmts count="1">
    <numFmt numFmtId="177" formatCode="_ &quot;$&quot;* #,##0_ ;_ &quot;$&quot;* \-#,##0_ ;_ &quot;$&quot;* &quot;-&quot;_ ;_ @_ "/>
  </numFmts>
  <fonts count="4">
    <font>
      <sz val="10"/>
      <color theme="1"/>
      <name val="Arial"/>
      <family val="2"/>
    </font>
    <font>
      <sz val="11"/>
      <name val="Garamond"/>
      <family val="1"/>
    </font>
    <font>
      <sz val="11"/>
      <color theme="1"/>
      <name val="Aptos Narrow"/>
      <family val="2"/>
      <scheme val="minor"/>
    </font>
    <font>
      <b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9" fontId="2" fillId="0" borderId="0" applyFont="0" applyFill="0" applyBorder="0" applyAlignment="0" applyProtection="0">
      <alignment/>
    </xf>
  </cellStyleXfs>
  <cellXfs count="11">
    <xf numFmtId="0" fontId="0" fillId="0" borderId="0" xfId="0"/>
    <xf numFmtId="0" fontId="3" fillId="2" borderId="1" xfId="0" applyFont="1" applyFill="1" applyBorder="1">
      <alignment/>
    </xf>
    <xf numFmtId="0" fontId="3" fillId="2" borderId="1" xfId="0" applyFont="1" applyFill="1" applyBorder="1" applyAlignment="1">
      <alignment horizontal="right"/>
    </xf>
    <xf numFmtId="0" fontId="1" fillId="2" borderId="2" xfId="0" applyFont="1" applyFill="1" applyBorder="1">
      <alignment/>
    </xf>
    <xf numFmtId="0" fontId="1" fillId="2" borderId="3" xfId="0" applyFont="1" applyFill="1" applyBorder="1">
      <alignment/>
    </xf>
    <xf numFmtId="0" fontId="1" fillId="2" borderId="3" xfId="0" applyFont="1" applyFill="1" applyBorder="1" applyAlignment="1">
      <alignment horizontal="right"/>
    </xf>
    <xf numFmtId="177" fontId="1" fillId="2" borderId="3" xfId="6" applyNumberFormat="1" applyFont="1" applyFill="1" applyBorder="1" applyAlignment="1">
      <alignment horizontal="right"/>
    </xf>
    <xf numFmtId="0" fontId="1" fillId="2" borderId="4" xfId="0" applyFont="1" applyFill="1" applyBorder="1">
      <alignment/>
    </xf>
    <xf numFmtId="0" fontId="1" fillId="2" borderId="1" xfId="0" applyFont="1" applyFill="1" applyBorder="1">
      <alignment/>
    </xf>
    <xf numFmtId="0" fontId="1" fillId="2" borderId="1" xfId="0" applyFont="1" applyFill="1" applyBorder="1" applyAlignment="1">
      <alignment horizontal="right"/>
    </xf>
    <xf numFmtId="177" fontId="1" fillId="2" borderId="1" xfId="6" applyNumberFormat="1" applyFont="1" applyFill="1" applyBorder="1" applyAlignment="1">
      <alignment horizontal="right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orcentaje" xfId="6"/>
  </cellStyles>
  <dxfs count="1">
    <dxf>
      <font>
        <b/>
        <i val="0"/>
      </font>
      <fill>
        <patternFill>
          <b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DCAA24-2194-43C3-92EC-F66F2B0EBAA1}">
  <dimension ref="A1:U23"/>
  <sheetViews>
    <sheetView tabSelected="1" workbookViewId="0" topLeftCell="A1"/>
  </sheetViews>
  <sheetFormatPr defaultRowHeight="12.75"/>
  <sheetData>
    <row r="1" spans="1:21" ht="12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>
      <c r="A2" s="3">
        <v>6</v>
      </c>
      <c r="B2" s="4" t="s">
        <v>21</v>
      </c>
      <c r="C2" s="5" t="s">
        <v>22</v>
      </c>
      <c r="D2" s="5" t="s">
        <v>23</v>
      </c>
      <c r="E2" s="5" t="s">
        <v>23</v>
      </c>
      <c r="F2" s="5" t="s">
        <v>24</v>
      </c>
      <c r="G2" s="5" t="s">
        <v>25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5" t="s">
        <v>26</v>
      </c>
      <c r="N2" s="5" t="s">
        <v>27</v>
      </c>
      <c r="O2" s="5" t="s">
        <v>28</v>
      </c>
      <c r="P2" s="5" t="s">
        <v>29</v>
      </c>
      <c r="Q2" s="5"/>
      <c r="R2" s="5"/>
      <c r="S2" s="5"/>
      <c r="T2" s="5"/>
      <c r="U2" s="5"/>
    </row>
    <row r="3" spans="1:21" ht="12.75">
      <c r="A3" s="7">
        <v>7</v>
      </c>
      <c r="B3" s="8" t="s">
        <v>30</v>
      </c>
      <c r="C3" s="9" t="s">
        <v>31</v>
      </c>
      <c r="D3" s="9" t="s">
        <v>23</v>
      </c>
      <c r="E3" s="9" t="s">
        <v>23</v>
      </c>
      <c r="F3" s="9" t="s">
        <v>24</v>
      </c>
      <c r="G3" s="9" t="s">
        <v>25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9" t="s">
        <v>26</v>
      </c>
      <c r="N3" s="9" t="s">
        <v>27</v>
      </c>
      <c r="O3" s="9" t="s">
        <v>28</v>
      </c>
      <c r="P3" s="9" t="s">
        <v>29</v>
      </c>
      <c r="Q3" s="9"/>
      <c r="R3" s="9"/>
      <c r="S3" s="9"/>
      <c r="T3" s="9"/>
      <c r="U3" s="9"/>
    </row>
    <row r="4" spans="1:21" ht="12.75">
      <c r="A4" s="3">
        <v>65</v>
      </c>
      <c r="B4" s="4" t="s">
        <v>32</v>
      </c>
      <c r="C4" s="5" t="s">
        <v>33</v>
      </c>
      <c r="D4" s="5" t="s">
        <v>23</v>
      </c>
      <c r="E4" s="5" t="s">
        <v>23</v>
      </c>
      <c r="F4" s="5" t="s">
        <v>24</v>
      </c>
      <c r="G4" s="5" t="s">
        <v>25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5" t="s">
        <v>34</v>
      </c>
      <c r="N4" s="5" t="s">
        <v>35</v>
      </c>
      <c r="O4" s="5" t="s">
        <v>28</v>
      </c>
      <c r="P4" s="5" t="s">
        <v>35</v>
      </c>
      <c r="Q4" s="5"/>
      <c r="R4" s="5"/>
      <c r="S4" s="5"/>
      <c r="T4" s="5"/>
      <c r="U4" s="5"/>
    </row>
    <row r="5" spans="1:21" ht="12.75">
      <c r="A5" s="3">
        <v>168</v>
      </c>
      <c r="B5" s="4" t="s">
        <v>36</v>
      </c>
      <c r="C5" s="5" t="s">
        <v>22</v>
      </c>
      <c r="D5" s="5" t="s">
        <v>23</v>
      </c>
      <c r="E5" s="5" t="s">
        <v>23</v>
      </c>
      <c r="F5" s="5" t="s">
        <v>24</v>
      </c>
      <c r="G5" s="5" t="s">
        <v>25</v>
      </c>
      <c r="H5" s="6">
        <v>0</v>
      </c>
      <c r="I5" s="6">
        <v>2200000000</v>
      </c>
      <c r="J5" s="6">
        <v>1968000000</v>
      </c>
      <c r="K5" s="6">
        <v>0</v>
      </c>
      <c r="L5" s="6">
        <v>1968000000</v>
      </c>
      <c r="M5" s="5" t="s">
        <v>37</v>
      </c>
      <c r="N5" s="5" t="s">
        <v>27</v>
      </c>
      <c r="O5" s="5" t="s">
        <v>28</v>
      </c>
      <c r="P5" s="5" t="s">
        <v>38</v>
      </c>
      <c r="Q5" s="5"/>
      <c r="R5" s="5">
        <v>2025</v>
      </c>
      <c r="S5" s="5">
        <v>2025</v>
      </c>
      <c r="T5" s="5">
        <v>2025</v>
      </c>
      <c r="U5" s="5"/>
    </row>
    <row r="6" spans="1:21" ht="12.75">
      <c r="A6" s="3">
        <v>185</v>
      </c>
      <c r="B6" s="4" t="s">
        <v>39</v>
      </c>
      <c r="C6" s="5" t="s">
        <v>22</v>
      </c>
      <c r="D6" s="5" t="s">
        <v>23</v>
      </c>
      <c r="E6" s="5" t="s">
        <v>23</v>
      </c>
      <c r="F6" s="5" t="s">
        <v>40</v>
      </c>
      <c r="G6" s="5" t="s">
        <v>25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5" t="s">
        <v>41</v>
      </c>
      <c r="N6" s="5" t="s">
        <v>35</v>
      </c>
      <c r="O6" s="5" t="s">
        <v>28</v>
      </c>
      <c r="P6" s="5" t="s">
        <v>35</v>
      </c>
      <c r="Q6" s="5"/>
      <c r="R6" s="5"/>
      <c r="S6" s="5"/>
      <c r="T6" s="5"/>
      <c r="U6" s="5"/>
    </row>
    <row r="7" spans="1:21" ht="12.75">
      <c r="A7" s="7">
        <v>191</v>
      </c>
      <c r="B7" s="8" t="s">
        <v>42</v>
      </c>
      <c r="C7" s="9" t="s">
        <v>22</v>
      </c>
      <c r="D7" s="9" t="s">
        <v>23</v>
      </c>
      <c r="E7" s="9" t="s">
        <v>23</v>
      </c>
      <c r="F7" s="9" t="s">
        <v>24</v>
      </c>
      <c r="G7" s="9" t="s">
        <v>43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9" t="s">
        <v>41</v>
      </c>
      <c r="N7" s="9" t="s">
        <v>35</v>
      </c>
      <c r="O7" s="9" t="s">
        <v>35</v>
      </c>
      <c r="P7" s="9" t="s">
        <v>35</v>
      </c>
      <c r="Q7" s="9"/>
      <c r="R7" s="9"/>
      <c r="S7" s="9"/>
      <c r="T7" s="9"/>
      <c r="U7" s="9"/>
    </row>
    <row r="8" spans="1:21" ht="12.75">
      <c r="A8" s="3">
        <v>202</v>
      </c>
      <c r="B8" s="4" t="s">
        <v>44</v>
      </c>
      <c r="C8" s="5" t="s">
        <v>45</v>
      </c>
      <c r="D8" s="5" t="s">
        <v>23</v>
      </c>
      <c r="E8" s="5" t="s">
        <v>23</v>
      </c>
      <c r="F8" s="5" t="s">
        <v>24</v>
      </c>
      <c r="G8" s="5" t="s">
        <v>25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5" t="s">
        <v>35</v>
      </c>
      <c r="N8" s="5"/>
      <c r="O8" s="5"/>
      <c r="P8" s="5"/>
      <c r="Q8" s="5"/>
      <c r="R8" s="5"/>
      <c r="S8" s="5"/>
      <c r="T8" s="5"/>
      <c r="U8" s="5"/>
    </row>
    <row r="9" spans="1:21" ht="12.75">
      <c r="A9" s="3">
        <v>92</v>
      </c>
      <c r="B9" s="4" t="s">
        <v>46</v>
      </c>
      <c r="C9" s="5" t="s">
        <v>47</v>
      </c>
      <c r="D9" s="5" t="s">
        <v>23</v>
      </c>
      <c r="E9" s="5" t="s">
        <v>23</v>
      </c>
      <c r="F9" s="5" t="s">
        <v>48</v>
      </c>
      <c r="G9" s="5" t="s">
        <v>25</v>
      </c>
      <c r="H9" s="6">
        <v>12000000</v>
      </c>
      <c r="I9" s="6">
        <v>0</v>
      </c>
      <c r="J9" s="6">
        <v>0</v>
      </c>
      <c r="K9" s="6">
        <v>0</v>
      </c>
      <c r="L9" s="6">
        <v>12000000</v>
      </c>
      <c r="M9" s="5" t="s">
        <v>49</v>
      </c>
      <c r="N9" s="5" t="s">
        <v>35</v>
      </c>
      <c r="O9" s="5" t="s">
        <v>35</v>
      </c>
      <c r="P9" s="5" t="s">
        <v>38</v>
      </c>
      <c r="Q9" s="5"/>
      <c r="R9" s="5"/>
      <c r="S9" s="5"/>
      <c r="T9" s="5"/>
      <c r="U9" s="5"/>
    </row>
    <row r="10" spans="1:21" ht="12.75">
      <c r="A10" s="7">
        <v>93</v>
      </c>
      <c r="B10" s="8" t="s">
        <v>50</v>
      </c>
      <c r="C10" s="9" t="s">
        <v>51</v>
      </c>
      <c r="D10" s="9" t="s">
        <v>23</v>
      </c>
      <c r="E10" s="9" t="s">
        <v>23</v>
      </c>
      <c r="F10" s="9" t="s">
        <v>48</v>
      </c>
      <c r="G10" s="9" t="s">
        <v>25</v>
      </c>
      <c r="H10" s="10">
        <v>12000000</v>
      </c>
      <c r="I10" s="10">
        <v>0</v>
      </c>
      <c r="J10" s="10">
        <v>0</v>
      </c>
      <c r="K10" s="10">
        <v>0</v>
      </c>
      <c r="L10" s="10">
        <v>12000000</v>
      </c>
      <c r="M10" s="9" t="s">
        <v>49</v>
      </c>
      <c r="N10" s="9" t="s">
        <v>35</v>
      </c>
      <c r="O10" s="9" t="s">
        <v>35</v>
      </c>
      <c r="P10" s="9" t="s">
        <v>38</v>
      </c>
      <c r="Q10" s="9"/>
      <c r="R10" s="9"/>
      <c r="S10" s="9"/>
      <c r="T10" s="9"/>
      <c r="U10" s="9"/>
    </row>
    <row r="11" spans="1:21" ht="12.75">
      <c r="A11" s="3">
        <v>199</v>
      </c>
      <c r="B11" s="4" t="s">
        <v>52</v>
      </c>
      <c r="C11" s="5" t="s">
        <v>51</v>
      </c>
      <c r="D11" s="5" t="s">
        <v>23</v>
      </c>
      <c r="E11" s="5" t="s">
        <v>23</v>
      </c>
      <c r="F11" s="5" t="s">
        <v>48</v>
      </c>
      <c r="G11" s="5" t="s">
        <v>53</v>
      </c>
      <c r="H11" s="6">
        <v>15000000</v>
      </c>
      <c r="I11" s="6">
        <v>0</v>
      </c>
      <c r="J11" s="6">
        <v>0</v>
      </c>
      <c r="K11" s="6">
        <v>0</v>
      </c>
      <c r="L11" s="6">
        <v>15000000</v>
      </c>
      <c r="M11" s="5" t="s">
        <v>35</v>
      </c>
      <c r="N11" s="5" t="s">
        <v>35</v>
      </c>
      <c r="O11" s="5" t="s">
        <v>35</v>
      </c>
      <c r="P11" s="5" t="s">
        <v>35</v>
      </c>
      <c r="Q11" s="5"/>
      <c r="R11" s="5"/>
      <c r="S11" s="5"/>
      <c r="T11" s="5"/>
      <c r="U11" s="5"/>
    </row>
    <row r="12" spans="1:21" ht="12.75">
      <c r="A12" s="7">
        <v>189</v>
      </c>
      <c r="B12" s="8" t="s">
        <v>54</v>
      </c>
      <c r="C12" s="9" t="s">
        <v>55</v>
      </c>
      <c r="D12" s="9" t="s">
        <v>23</v>
      </c>
      <c r="E12" s="9" t="s">
        <v>23</v>
      </c>
      <c r="F12" s="9" t="s">
        <v>48</v>
      </c>
      <c r="G12" s="9" t="s">
        <v>25</v>
      </c>
      <c r="H12" s="10">
        <v>20952000</v>
      </c>
      <c r="I12" s="10">
        <v>20952000</v>
      </c>
      <c r="J12" s="10">
        <v>0</v>
      </c>
      <c r="K12" s="10">
        <v>0</v>
      </c>
      <c r="L12" s="10">
        <v>20952000</v>
      </c>
      <c r="M12" s="9" t="s">
        <v>41</v>
      </c>
      <c r="N12" s="9" t="s">
        <v>35</v>
      </c>
      <c r="O12" s="9" t="s">
        <v>28</v>
      </c>
      <c r="P12" s="9" t="s">
        <v>38</v>
      </c>
      <c r="Q12" s="9"/>
      <c r="R12" s="9">
        <v>2023</v>
      </c>
      <c r="S12" s="9">
        <v>2023</v>
      </c>
      <c r="T12" s="9">
        <v>2023</v>
      </c>
      <c r="U12" s="9">
        <v>2025</v>
      </c>
    </row>
    <row r="13" spans="1:21" ht="12.75">
      <c r="A13" s="3">
        <v>178</v>
      </c>
      <c r="B13" s="4" t="s">
        <v>56</v>
      </c>
      <c r="C13" s="5" t="s">
        <v>57</v>
      </c>
      <c r="D13" s="5" t="s">
        <v>23</v>
      </c>
      <c r="E13" s="5" t="s">
        <v>23</v>
      </c>
      <c r="F13" s="5" t="s">
        <v>48</v>
      </c>
      <c r="G13" s="5" t="s">
        <v>25</v>
      </c>
      <c r="H13" s="6">
        <v>55000000</v>
      </c>
      <c r="I13" s="6">
        <v>4924000</v>
      </c>
      <c r="J13" s="6">
        <v>0</v>
      </c>
      <c r="K13" s="6">
        <v>0</v>
      </c>
      <c r="L13" s="6">
        <v>4924000</v>
      </c>
      <c r="M13" s="5" t="s">
        <v>58</v>
      </c>
      <c r="N13" s="5" t="s">
        <v>35</v>
      </c>
      <c r="O13" s="5" t="s">
        <v>28</v>
      </c>
      <c r="P13" s="5" t="s">
        <v>38</v>
      </c>
      <c r="Q13" s="5">
        <v>2022</v>
      </c>
      <c r="R13" s="5">
        <v>2021</v>
      </c>
      <c r="S13" s="5"/>
      <c r="T13" s="5"/>
      <c r="U13" s="5"/>
    </row>
    <row r="14" spans="1:21" ht="12.75">
      <c r="A14" s="3">
        <v>188</v>
      </c>
      <c r="B14" s="4" t="s">
        <v>59</v>
      </c>
      <c r="C14" s="5" t="s">
        <v>60</v>
      </c>
      <c r="D14" s="5" t="s">
        <v>23</v>
      </c>
      <c r="E14" s="5" t="s">
        <v>23</v>
      </c>
      <c r="F14" s="5" t="s">
        <v>48</v>
      </c>
      <c r="G14" s="5" t="s">
        <v>43</v>
      </c>
      <c r="H14" s="6">
        <v>81000000</v>
      </c>
      <c r="I14" s="6">
        <v>165066700</v>
      </c>
      <c r="J14" s="6">
        <v>165066700</v>
      </c>
      <c r="K14" s="6">
        <v>180774700</v>
      </c>
      <c r="L14" s="6">
        <v>180774700</v>
      </c>
      <c r="M14" s="5" t="s">
        <v>41</v>
      </c>
      <c r="N14" s="5" t="s">
        <v>35</v>
      </c>
      <c r="O14" s="5" t="s">
        <v>28</v>
      </c>
      <c r="P14" s="5" t="s">
        <v>38</v>
      </c>
      <c r="Q14" s="5"/>
      <c r="R14" s="5">
        <v>2023</v>
      </c>
      <c r="S14" s="5">
        <v>2023</v>
      </c>
      <c r="T14" s="5">
        <v>2024</v>
      </c>
      <c r="U14" s="5"/>
    </row>
    <row r="15" spans="1:21" ht="12.75">
      <c r="A15" s="3">
        <v>39</v>
      </c>
      <c r="B15" s="4" t="s">
        <v>61</v>
      </c>
      <c r="C15" s="5" t="s">
        <v>60</v>
      </c>
      <c r="D15" s="5" t="s">
        <v>23</v>
      </c>
      <c r="E15" s="5" t="s">
        <v>23</v>
      </c>
      <c r="F15" s="5" t="s">
        <v>48</v>
      </c>
      <c r="G15" s="5" t="s">
        <v>25</v>
      </c>
      <c r="H15" s="6">
        <v>120000000</v>
      </c>
      <c r="I15" s="6">
        <v>0</v>
      </c>
      <c r="J15" s="6">
        <v>0</v>
      </c>
      <c r="K15" s="6">
        <v>0</v>
      </c>
      <c r="L15" s="6">
        <v>120000000</v>
      </c>
      <c r="M15" s="5" t="s">
        <v>26</v>
      </c>
      <c r="N15" s="5" t="s">
        <v>35</v>
      </c>
      <c r="O15" s="5" t="s">
        <v>35</v>
      </c>
      <c r="P15" s="5" t="s">
        <v>35</v>
      </c>
      <c r="Q15" s="5"/>
      <c r="R15" s="5"/>
      <c r="S15" s="5"/>
      <c r="T15" s="5"/>
      <c r="U15" s="5"/>
    </row>
    <row r="16" spans="1:21" ht="12.75">
      <c r="A16" s="7">
        <v>200</v>
      </c>
      <c r="B16" s="8" t="s">
        <v>62</v>
      </c>
      <c r="C16" s="9" t="s">
        <v>63</v>
      </c>
      <c r="D16" s="9" t="s">
        <v>23</v>
      </c>
      <c r="E16" s="9" t="s">
        <v>23</v>
      </c>
      <c r="F16" s="9" t="s">
        <v>48</v>
      </c>
      <c r="G16" s="9" t="s">
        <v>43</v>
      </c>
      <c r="H16" s="10">
        <v>120000000</v>
      </c>
      <c r="I16" s="10">
        <v>0</v>
      </c>
      <c r="J16" s="10">
        <v>0</v>
      </c>
      <c r="K16" s="10">
        <v>0</v>
      </c>
      <c r="L16" s="10">
        <v>120000000</v>
      </c>
      <c r="M16" s="9" t="s">
        <v>35</v>
      </c>
      <c r="N16" s="9" t="s">
        <v>35</v>
      </c>
      <c r="O16" s="9" t="s">
        <v>35</v>
      </c>
      <c r="P16" s="9" t="s">
        <v>35</v>
      </c>
      <c r="Q16" s="9"/>
      <c r="R16" s="9"/>
      <c r="S16" s="9"/>
      <c r="T16" s="9"/>
      <c r="U16" s="9"/>
    </row>
    <row r="17" spans="1:21" ht="12.75">
      <c r="A17" s="7">
        <v>186</v>
      </c>
      <c r="B17" s="8" t="s">
        <v>64</v>
      </c>
      <c r="C17" s="9" t="s">
        <v>22</v>
      </c>
      <c r="D17" s="9" t="s">
        <v>23</v>
      </c>
      <c r="E17" s="9" t="s">
        <v>23</v>
      </c>
      <c r="F17" s="9" t="s">
        <v>48</v>
      </c>
      <c r="G17" s="9" t="s">
        <v>25</v>
      </c>
      <c r="H17" s="10">
        <v>120878000</v>
      </c>
      <c r="I17" s="10">
        <v>2139629000</v>
      </c>
      <c r="J17" s="10">
        <v>1897907881</v>
      </c>
      <c r="K17" s="10">
        <v>2042537967</v>
      </c>
      <c r="L17" s="10">
        <v>2042537967</v>
      </c>
      <c r="M17" s="9" t="s">
        <v>41</v>
      </c>
      <c r="N17" s="9" t="s">
        <v>35</v>
      </c>
      <c r="O17" s="9" t="s">
        <v>28</v>
      </c>
      <c r="P17" s="9" t="s">
        <v>38</v>
      </c>
      <c r="Q17" s="9">
        <v>2023</v>
      </c>
      <c r="R17" s="9">
        <v>2024</v>
      </c>
      <c r="S17" s="9">
        <v>2024</v>
      </c>
      <c r="T17" s="9">
        <v>2024</v>
      </c>
      <c r="U17" s="9"/>
    </row>
    <row r="18" spans="1:21" ht="12.75">
      <c r="A18" s="3">
        <v>91</v>
      </c>
      <c r="B18" s="4" t="s">
        <v>65</v>
      </c>
      <c r="C18" s="5" t="s">
        <v>22</v>
      </c>
      <c r="D18" s="5" t="s">
        <v>23</v>
      </c>
      <c r="E18" s="5" t="s">
        <v>23</v>
      </c>
      <c r="F18" s="5" t="s">
        <v>23</v>
      </c>
      <c r="G18" s="5" t="s">
        <v>25</v>
      </c>
      <c r="H18" s="6">
        <v>335625000</v>
      </c>
      <c r="I18" s="6">
        <v>0</v>
      </c>
      <c r="J18" s="6">
        <v>0</v>
      </c>
      <c r="K18" s="6">
        <v>0</v>
      </c>
      <c r="L18" s="6">
        <v>335625000</v>
      </c>
      <c r="M18" s="5" t="s">
        <v>34</v>
      </c>
      <c r="N18" s="5">
        <v>2025</v>
      </c>
      <c r="O18" s="5" t="s">
        <v>66</v>
      </c>
      <c r="P18" s="5"/>
      <c r="Q18" s="5"/>
      <c r="R18" s="5"/>
      <c r="S18" s="5"/>
      <c r="T18" s="5"/>
      <c r="U18" s="5"/>
    </row>
    <row r="19" spans="1:21" ht="12.75">
      <c r="A19" s="3">
        <v>187</v>
      </c>
      <c r="B19" s="4" t="s">
        <v>67</v>
      </c>
      <c r="C19" s="5" t="s">
        <v>68</v>
      </c>
      <c r="D19" s="5" t="s">
        <v>23</v>
      </c>
      <c r="E19" s="5" t="s">
        <v>23</v>
      </c>
      <c r="F19" s="5" t="s">
        <v>48</v>
      </c>
      <c r="G19" s="5" t="s">
        <v>25</v>
      </c>
      <c r="H19" s="6">
        <v>1102592000</v>
      </c>
      <c r="I19" s="6">
        <v>1102592000</v>
      </c>
      <c r="J19" s="6">
        <v>933783827</v>
      </c>
      <c r="K19" s="6">
        <v>0</v>
      </c>
      <c r="L19" s="6">
        <v>933783827</v>
      </c>
      <c r="M19" s="5" t="s">
        <v>41</v>
      </c>
      <c r="N19" s="5" t="s">
        <v>35</v>
      </c>
      <c r="O19" s="5" t="s">
        <v>28</v>
      </c>
      <c r="P19" s="5" t="s">
        <v>38</v>
      </c>
      <c r="Q19" s="5">
        <v>2024</v>
      </c>
      <c r="R19" s="5">
        <v>2024</v>
      </c>
      <c r="S19" s="5">
        <v>2024</v>
      </c>
      <c r="T19" s="5">
        <v>2024</v>
      </c>
      <c r="U19" s="5"/>
    </row>
    <row r="20" spans="1:21" ht="12.75">
      <c r="A20" s="3">
        <v>190</v>
      </c>
      <c r="B20" s="4" t="s">
        <v>69</v>
      </c>
      <c r="C20" s="5" t="s">
        <v>70</v>
      </c>
      <c r="D20" s="5" t="s">
        <v>23</v>
      </c>
      <c r="E20" s="5" t="s">
        <v>23</v>
      </c>
      <c r="F20" s="5" t="s">
        <v>48</v>
      </c>
      <c r="G20" s="5" t="s">
        <v>25</v>
      </c>
      <c r="H20" s="6">
        <v>1500000000</v>
      </c>
      <c r="I20" s="6">
        <v>0</v>
      </c>
      <c r="J20" s="6">
        <v>0</v>
      </c>
      <c r="K20" s="6">
        <v>0</v>
      </c>
      <c r="L20" s="6">
        <v>1500000000</v>
      </c>
      <c r="M20" s="5" t="s">
        <v>41</v>
      </c>
      <c r="N20" s="5" t="s">
        <v>35</v>
      </c>
      <c r="O20" s="5" t="s">
        <v>35</v>
      </c>
      <c r="P20" s="5" t="s">
        <v>35</v>
      </c>
      <c r="Q20" s="5"/>
      <c r="R20" s="5"/>
      <c r="S20" s="5"/>
      <c r="T20" s="5"/>
      <c r="U20" s="5"/>
    </row>
    <row r="21" spans="1:21" ht="12.75">
      <c r="A21" s="7">
        <v>198</v>
      </c>
      <c r="B21" s="8" t="s">
        <v>71</v>
      </c>
      <c r="C21" s="9" t="s">
        <v>72</v>
      </c>
      <c r="D21" s="9" t="s">
        <v>23</v>
      </c>
      <c r="E21" s="9" t="s">
        <v>23</v>
      </c>
      <c r="F21" s="9" t="s">
        <v>48</v>
      </c>
      <c r="G21" s="9" t="s">
        <v>25</v>
      </c>
      <c r="H21" s="10">
        <v>1500000000</v>
      </c>
      <c r="I21" s="10">
        <v>0</v>
      </c>
      <c r="J21" s="10">
        <v>0</v>
      </c>
      <c r="K21" s="10">
        <v>0</v>
      </c>
      <c r="L21" s="10">
        <v>1500000000</v>
      </c>
      <c r="M21" s="9" t="s">
        <v>35</v>
      </c>
      <c r="N21" s="9" t="s">
        <v>35</v>
      </c>
      <c r="O21" s="9" t="s">
        <v>28</v>
      </c>
      <c r="P21" s="9" t="s">
        <v>35</v>
      </c>
      <c r="Q21" s="9"/>
      <c r="R21" s="9"/>
      <c r="S21" s="9"/>
      <c r="T21" s="9"/>
      <c r="U21" s="9"/>
    </row>
    <row r="22" spans="1:21" ht="12.75">
      <c r="A22" s="3">
        <v>184</v>
      </c>
      <c r="B22" s="4" t="s">
        <v>73</v>
      </c>
      <c r="C22" s="5" t="s">
        <v>74</v>
      </c>
      <c r="D22" s="5" t="s">
        <v>23</v>
      </c>
      <c r="E22" s="5" t="s">
        <v>23</v>
      </c>
      <c r="F22" s="5" t="s">
        <v>48</v>
      </c>
      <c r="G22" s="5" t="s">
        <v>25</v>
      </c>
      <c r="H22" s="6">
        <v>2206628000</v>
      </c>
      <c r="I22" s="6">
        <v>1699952861</v>
      </c>
      <c r="J22" s="6">
        <v>1699952861</v>
      </c>
      <c r="K22" s="6">
        <v>0</v>
      </c>
      <c r="L22" s="6">
        <v>1699952861</v>
      </c>
      <c r="M22" s="5" t="s">
        <v>41</v>
      </c>
      <c r="N22" s="5">
        <v>2022</v>
      </c>
      <c r="O22" s="5">
        <v>2023</v>
      </c>
      <c r="P22" s="5">
        <v>2023</v>
      </c>
      <c r="Q22" s="5">
        <v>2023</v>
      </c>
      <c r="R22" s="5">
        <v>2023</v>
      </c>
      <c r="S22" s="5">
        <v>2023</v>
      </c>
      <c r="T22" s="5">
        <v>2023</v>
      </c>
      <c r="U22" s="5">
        <v>2025</v>
      </c>
    </row>
    <row r="23" spans="1:21" ht="12.75">
      <c r="A23" s="7">
        <v>201</v>
      </c>
      <c r="B23" s="8" t="s">
        <v>75</v>
      </c>
      <c r="C23" s="9" t="s">
        <v>57</v>
      </c>
      <c r="D23" s="9" t="s">
        <v>23</v>
      </c>
      <c r="E23" s="9" t="s">
        <v>23</v>
      </c>
      <c r="F23" s="9" t="s">
        <v>48</v>
      </c>
      <c r="G23" s="9" t="s">
        <v>43</v>
      </c>
      <c r="H23" s="10">
        <v>2330134882</v>
      </c>
      <c r="I23" s="10">
        <v>0</v>
      </c>
      <c r="J23" s="10">
        <v>0</v>
      </c>
      <c r="K23" s="10">
        <v>0</v>
      </c>
      <c r="L23" s="10">
        <v>2330134882</v>
      </c>
      <c r="M23" s="9" t="s">
        <v>35</v>
      </c>
      <c r="N23" s="9" t="s">
        <v>35</v>
      </c>
      <c r="O23" s="9" t="s">
        <v>35</v>
      </c>
      <c r="P23" s="9" t="s">
        <v>35</v>
      </c>
      <c r="Q23" s="9"/>
      <c r="R23" s="9"/>
      <c r="S23" s="9"/>
      <c r="T23" s="9"/>
      <c r="U23" s="9"/>
    </row>
  </sheetData>
  <conditionalFormatting sqref="C1:U23 B2:B23">
    <cfRule type="expression" priority="2" dxfId="0">
      <formula>CELL("fila")=ROW()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